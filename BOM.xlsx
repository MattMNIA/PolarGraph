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m\OneDrive - Iowa State University\Personal Projects\WhiteboardDrawing\"/>
    </mc:Choice>
  </mc:AlternateContent>
  <xr:revisionPtr revIDLastSave="0" documentId="13_ncr:1_{C18F2AA3-BE7C-4A95-BD7A-3A94EFE55847}" xr6:coauthVersionLast="47" xr6:coauthVersionMax="47" xr10:uidLastSave="{00000000-0000-0000-0000-000000000000}"/>
  <bookViews>
    <workbookView xWindow="-113" yWindow="-113" windowWidth="24267" windowHeight="14526" xr2:uid="{67C58307-0755-4C4E-B8D2-158E2B71A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9" i="1"/>
  <c r="F8" i="1"/>
  <c r="F7" i="1"/>
  <c r="F6" i="1"/>
  <c r="F11" i="1"/>
  <c r="F12" i="1"/>
  <c r="F13" i="1"/>
  <c r="F10" i="1"/>
  <c r="F18" i="1"/>
  <c r="F19" i="1"/>
  <c r="F20" i="1"/>
  <c r="F21" i="1"/>
  <c r="F22" i="1"/>
  <c r="F23" i="1"/>
  <c r="F24" i="1"/>
  <c r="F25" i="1"/>
  <c r="F26" i="1"/>
  <c r="F27" i="1"/>
  <c r="F28" i="1"/>
  <c r="F29" i="1"/>
  <c r="F17" i="1"/>
  <c r="F14" i="1" l="1"/>
  <c r="F32" i="1" s="1"/>
</calcChain>
</file>

<file path=xl/sharedStrings.xml><?xml version="1.0" encoding="utf-8"?>
<sst xmlns="http://schemas.openxmlformats.org/spreadsheetml/2006/main" count="22" uniqueCount="18">
  <si>
    <t>Price</t>
  </si>
  <si>
    <t>Name of Component</t>
  </si>
  <si>
    <t>Units Sold</t>
  </si>
  <si>
    <t>Units Needed</t>
  </si>
  <si>
    <t>Cost of Needed Units</t>
  </si>
  <si>
    <t>Electronics</t>
  </si>
  <si>
    <t>Subtotal</t>
  </si>
  <si>
    <t>General parts</t>
  </si>
  <si>
    <t>Total</t>
  </si>
  <si>
    <t>Project Name</t>
  </si>
  <si>
    <t>Nema 17 Stepper Motors 1.5 A 42Ncm 1.8 degree</t>
  </si>
  <si>
    <t>BIGTREETECH TMC2209 Stepper Motor Driver</t>
  </si>
  <si>
    <t>12V DC Power Supply (5-10A)</t>
  </si>
  <si>
    <t>Servo Motor</t>
  </si>
  <si>
    <t>Ball-bearing idler pulleys</t>
  </si>
  <si>
    <t>Bolt</t>
  </si>
  <si>
    <t>Nut</t>
  </si>
  <si>
    <t>ESP32-S Development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</si>
</sst>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4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8" xfId="2" applyFill="1" applyBorder="1" applyAlignment="1">
      <alignment horizontal="center"/>
    </xf>
    <xf numFmtId="0" fontId="0" fillId="0" borderId="5" xfId="0" applyBorder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3" fillId="0" borderId="10" xfId="2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4" xfId="0" applyBorder="1"/>
    <xf numFmtId="0" fontId="0" fillId="5" borderId="13" xfId="0" applyFill="1" applyBorder="1"/>
    <xf numFmtId="0" fontId="2" fillId="2" borderId="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2" fillId="0" borderId="11" xfId="1" applyFont="1" applyBorder="1" applyAlignment="1">
      <alignment horizontal="center"/>
    </xf>
    <xf numFmtId="44" fontId="0" fillId="0" borderId="16" xfId="1" applyFont="1" applyBorder="1"/>
    <xf numFmtId="44" fontId="2" fillId="0" borderId="18" xfId="1" applyFont="1" applyBorder="1" applyAlignment="1">
      <alignment horizontal="center"/>
    </xf>
    <xf numFmtId="44" fontId="0" fillId="0" borderId="6" xfId="1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0F29-9524-46B4-AFEB-5B9651F23133}">
  <dimension ref="B1:F32"/>
  <sheetViews>
    <sheetView tabSelected="1" topLeftCell="A4" workbookViewId="0">
      <selection activeCell="H28" sqref="H28"/>
    </sheetView>
  </sheetViews>
  <sheetFormatPr defaultRowHeight="15.05" x14ac:dyDescent="0.3"/>
  <cols>
    <col min="2" max="2" width="40.77734375" bestFit="1" customWidth="1"/>
    <col min="3" max="3" width="7.109375" bestFit="1" customWidth="1"/>
    <col min="4" max="4" width="9.44140625" bestFit="1" customWidth="1"/>
    <col min="5" max="5" width="12.21875" bestFit="1" customWidth="1"/>
    <col min="6" max="6" width="18.44140625" bestFit="1" customWidth="1"/>
  </cols>
  <sheetData>
    <row r="1" spans="2:6" ht="15.65" thickBot="1" x14ac:dyDescent="0.35"/>
    <row r="2" spans="2:6" ht="15.65" thickBot="1" x14ac:dyDescent="0.35">
      <c r="B2" s="29" t="s">
        <v>9</v>
      </c>
      <c r="C2" s="30"/>
      <c r="D2" s="30"/>
      <c r="E2" s="30"/>
      <c r="F2" s="31"/>
    </row>
    <row r="3" spans="2:6" ht="15.65" thickBot="1" x14ac:dyDescent="0.35">
      <c r="B3" s="2" t="s">
        <v>1</v>
      </c>
      <c r="C3" s="3" t="s">
        <v>0</v>
      </c>
      <c r="D3" s="3" t="s">
        <v>2</v>
      </c>
      <c r="E3" s="3" t="s">
        <v>3</v>
      </c>
      <c r="F3" s="21" t="s">
        <v>4</v>
      </c>
    </row>
    <row r="4" spans="2:6" ht="15.65" thickBot="1" x14ac:dyDescent="0.35">
      <c r="B4" s="4"/>
      <c r="C4" s="5"/>
      <c r="D4" s="5"/>
      <c r="E4" s="5"/>
      <c r="F4" s="6"/>
    </row>
    <row r="5" spans="2:6" ht="15.65" thickBot="1" x14ac:dyDescent="0.35">
      <c r="B5" s="1" t="s">
        <v>5</v>
      </c>
      <c r="C5" s="27"/>
      <c r="D5" s="27"/>
      <c r="E5" s="27"/>
      <c r="F5" s="28"/>
    </row>
    <row r="6" spans="2:6" x14ac:dyDescent="0.3">
      <c r="B6" s="7" t="s">
        <v>10</v>
      </c>
      <c r="C6" s="24">
        <v>9.99</v>
      </c>
      <c r="D6" s="25">
        <v>1</v>
      </c>
      <c r="E6" s="25">
        <v>2</v>
      </c>
      <c r="F6" s="32">
        <f t="shared" ref="F6:F9" si="0">IFERROR((C6/D6)*E6, "")</f>
        <v>19.98</v>
      </c>
    </row>
    <row r="7" spans="2:6" x14ac:dyDescent="0.3">
      <c r="B7" s="16" t="s">
        <v>11</v>
      </c>
      <c r="C7" s="17">
        <v>13.99</v>
      </c>
      <c r="D7" s="26">
        <v>2</v>
      </c>
      <c r="E7" s="26">
        <v>2</v>
      </c>
      <c r="F7" s="32">
        <f t="shared" si="0"/>
        <v>13.99</v>
      </c>
    </row>
    <row r="8" spans="2:6" x14ac:dyDescent="0.3">
      <c r="B8" s="16" t="s">
        <v>12</v>
      </c>
      <c r="C8" s="24"/>
      <c r="D8" s="25"/>
      <c r="E8" s="25"/>
      <c r="F8" s="32" t="str">
        <f t="shared" si="0"/>
        <v/>
      </c>
    </row>
    <row r="9" spans="2:6" x14ac:dyDescent="0.3">
      <c r="B9" s="7" t="s">
        <v>13</v>
      </c>
      <c r="C9" s="24"/>
      <c r="D9" s="25"/>
      <c r="E9" s="25"/>
      <c r="F9" s="32" t="str">
        <f t="shared" si="0"/>
        <v/>
      </c>
    </row>
    <row r="10" spans="2:6" x14ac:dyDescent="0.3">
      <c r="B10" s="7" t="s">
        <v>17</v>
      </c>
      <c r="C10" s="24">
        <v>17.11</v>
      </c>
      <c r="D10" s="25">
        <v>3</v>
      </c>
      <c r="E10" s="25">
        <v>1</v>
      </c>
      <c r="F10" s="32">
        <f>IFERROR((C10/D10)*E10, "")</f>
        <v>5.7033333333333331</v>
      </c>
    </row>
    <row r="11" spans="2:6" x14ac:dyDescent="0.3">
      <c r="B11" s="7"/>
      <c r="C11" s="24"/>
      <c r="D11" s="25"/>
      <c r="E11" s="25"/>
      <c r="F11" s="32" t="str">
        <f t="shared" ref="F11:F13" si="1">IFERROR(ROUND((C11/D11)*E11,2), "")</f>
        <v/>
      </c>
    </row>
    <row r="12" spans="2:6" x14ac:dyDescent="0.3">
      <c r="B12" s="7"/>
      <c r="C12" s="24"/>
      <c r="D12" s="25"/>
      <c r="E12" s="25"/>
      <c r="F12" s="32" t="str">
        <f t="shared" si="1"/>
        <v/>
      </c>
    </row>
    <row r="13" spans="2:6" ht="15.65" thickBot="1" x14ac:dyDescent="0.35">
      <c r="B13" s="7"/>
      <c r="C13" s="24"/>
      <c r="D13" s="25"/>
      <c r="E13" s="25"/>
      <c r="F13" s="32" t="str">
        <f t="shared" si="1"/>
        <v/>
      </c>
    </row>
    <row r="14" spans="2:6" ht="15.65" thickBot="1" x14ac:dyDescent="0.35">
      <c r="B14" s="8"/>
      <c r="C14" s="9"/>
      <c r="D14" s="10"/>
      <c r="E14" s="11" t="s">
        <v>6</v>
      </c>
      <c r="F14" s="33">
        <f>SUM(F6:F13)</f>
        <v>39.673333333333332</v>
      </c>
    </row>
    <row r="15" spans="2:6" ht="15.65" thickBot="1" x14ac:dyDescent="0.35">
      <c r="B15" s="12"/>
      <c r="C15" s="13"/>
      <c r="D15" s="14"/>
      <c r="E15" s="15"/>
      <c r="F15" s="34"/>
    </row>
    <row r="16" spans="2:6" ht="15.65" thickBot="1" x14ac:dyDescent="0.35">
      <c r="B16" s="1" t="s">
        <v>7</v>
      </c>
      <c r="C16" s="27"/>
      <c r="D16" s="27"/>
      <c r="E16" s="27"/>
      <c r="F16" s="28"/>
    </row>
    <row r="17" spans="2:6" x14ac:dyDescent="0.3">
      <c r="B17" s="16" t="s">
        <v>14</v>
      </c>
      <c r="C17" s="17"/>
      <c r="D17" s="23"/>
      <c r="E17" s="23"/>
      <c r="F17" s="32" t="str">
        <f t="shared" ref="F17:F29" si="2">IFERROR((C17/D17)*E17, "")</f>
        <v/>
      </c>
    </row>
    <row r="18" spans="2:6" x14ac:dyDescent="0.3">
      <c r="B18" s="16" t="s">
        <v>15</v>
      </c>
      <c r="C18" s="17"/>
      <c r="D18" s="23"/>
      <c r="E18" s="23"/>
      <c r="F18" s="32" t="str">
        <f t="shared" si="2"/>
        <v/>
      </c>
    </row>
    <row r="19" spans="2:6" x14ac:dyDescent="0.3">
      <c r="B19" s="16" t="s">
        <v>15</v>
      </c>
      <c r="C19" s="17"/>
      <c r="D19" s="23"/>
      <c r="E19" s="23"/>
      <c r="F19" s="32" t="str">
        <f t="shared" si="2"/>
        <v/>
      </c>
    </row>
    <row r="20" spans="2:6" x14ac:dyDescent="0.3">
      <c r="B20" s="16" t="s">
        <v>15</v>
      </c>
      <c r="C20" s="17"/>
      <c r="D20" s="23"/>
      <c r="E20" s="23"/>
      <c r="F20" s="32" t="str">
        <f t="shared" si="2"/>
        <v/>
      </c>
    </row>
    <row r="21" spans="2:6" x14ac:dyDescent="0.3">
      <c r="B21" s="16" t="s">
        <v>16</v>
      </c>
      <c r="C21" s="17"/>
      <c r="D21" s="23"/>
      <c r="E21" s="23"/>
      <c r="F21" s="32" t="str">
        <f t="shared" si="2"/>
        <v/>
      </c>
    </row>
    <row r="22" spans="2:6" x14ac:dyDescent="0.3">
      <c r="B22" s="16" t="s">
        <v>16</v>
      </c>
      <c r="C22" s="17"/>
      <c r="D22" s="23"/>
      <c r="E22" s="23"/>
      <c r="F22" s="32" t="str">
        <f t="shared" si="2"/>
        <v/>
      </c>
    </row>
    <row r="23" spans="2:6" x14ac:dyDescent="0.3">
      <c r="B23" s="16"/>
      <c r="C23" s="17"/>
      <c r="D23" s="23"/>
      <c r="E23" s="23"/>
      <c r="F23" s="32" t="str">
        <f t="shared" si="2"/>
        <v/>
      </c>
    </row>
    <row r="24" spans="2:6" x14ac:dyDescent="0.3">
      <c r="B24" s="16"/>
      <c r="C24" s="17"/>
      <c r="D24" s="23"/>
      <c r="E24" s="23"/>
      <c r="F24" s="32" t="str">
        <f t="shared" si="2"/>
        <v/>
      </c>
    </row>
    <row r="25" spans="2:6" x14ac:dyDescent="0.3">
      <c r="B25" s="16"/>
      <c r="C25" s="17"/>
      <c r="D25" s="23"/>
      <c r="E25" s="23"/>
      <c r="F25" s="32" t="str">
        <f t="shared" si="2"/>
        <v/>
      </c>
    </row>
    <row r="26" spans="2:6" x14ac:dyDescent="0.3">
      <c r="B26" s="16"/>
      <c r="C26" s="17"/>
      <c r="D26" s="23"/>
      <c r="E26" s="23"/>
      <c r="F26" s="32" t="str">
        <f t="shared" si="2"/>
        <v/>
      </c>
    </row>
    <row r="27" spans="2:6" x14ac:dyDescent="0.3">
      <c r="B27" s="16"/>
      <c r="C27" s="17"/>
      <c r="D27" s="23"/>
      <c r="E27" s="23"/>
      <c r="F27" s="32" t="str">
        <f t="shared" si="2"/>
        <v/>
      </c>
    </row>
    <row r="28" spans="2:6" x14ac:dyDescent="0.3">
      <c r="B28" s="16"/>
      <c r="C28" s="17"/>
      <c r="D28" s="23"/>
      <c r="E28" s="23"/>
      <c r="F28" s="32" t="str">
        <f t="shared" si="2"/>
        <v/>
      </c>
    </row>
    <row r="29" spans="2:6" x14ac:dyDescent="0.3">
      <c r="B29" s="16"/>
      <c r="C29" s="17"/>
      <c r="D29" s="23"/>
      <c r="E29" s="23"/>
      <c r="F29" s="32" t="str">
        <f t="shared" si="2"/>
        <v/>
      </c>
    </row>
    <row r="30" spans="2:6" ht="15.65" thickBot="1" x14ac:dyDescent="0.35">
      <c r="B30" s="8"/>
      <c r="C30" s="9"/>
      <c r="D30" s="9"/>
      <c r="E30" s="22" t="s">
        <v>6</v>
      </c>
      <c r="F30" s="35">
        <f>SUM(F17:F29)</f>
        <v>0</v>
      </c>
    </row>
    <row r="31" spans="2:6" ht="15.65" thickBot="1" x14ac:dyDescent="0.35">
      <c r="B31" s="8"/>
      <c r="C31" s="9"/>
      <c r="D31" s="9"/>
      <c r="E31" s="10"/>
      <c r="F31" s="36"/>
    </row>
    <row r="32" spans="2:6" ht="15.65" thickBot="1" x14ac:dyDescent="0.35">
      <c r="B32" s="18"/>
      <c r="C32" s="15"/>
      <c r="D32" s="19"/>
      <c r="E32" s="20" t="s">
        <v>8</v>
      </c>
      <c r="F32" s="33">
        <f>SUM(F30,F14)</f>
        <v>39.673333333333332</v>
      </c>
    </row>
  </sheetData>
  <mergeCells count="3">
    <mergeCell ref="B16:F16"/>
    <mergeCell ref="B5:F5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Matthew C</dc:creator>
  <cp:lastModifiedBy>Morgan, Matthew C</cp:lastModifiedBy>
  <dcterms:created xsi:type="dcterms:W3CDTF">2025-10-29T19:27:18Z</dcterms:created>
  <dcterms:modified xsi:type="dcterms:W3CDTF">2025-10-29T21:05:56Z</dcterms:modified>
</cp:coreProperties>
</file>